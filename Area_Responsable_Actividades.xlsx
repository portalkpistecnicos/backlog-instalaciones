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G:\Mi unidad\Respaldo\Documents\KPI's\Backlog Instala\"/>
    </mc:Choice>
  </mc:AlternateContent>
  <xr:revisionPtr revIDLastSave="0" documentId="13_ncr:1_{6B20F6E5-7C77-496C-A75F-A1C09A5BEAB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rea Responsable" sheetId="1" r:id="rId1"/>
    <sheet name="Area x Estado" sheetId="2" r:id="rId2"/>
    <sheet name="Sin Area - Detal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B18" i="3"/>
  <c r="C17" i="3"/>
  <c r="C16" i="3"/>
  <c r="C15" i="3"/>
  <c r="C10" i="3"/>
  <c r="B10" i="3"/>
  <c r="C9" i="3"/>
  <c r="C8" i="3"/>
  <c r="C7" i="3"/>
  <c r="F13" i="2"/>
  <c r="E13" i="2"/>
  <c r="D13" i="2"/>
  <c r="C13" i="2"/>
  <c r="B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D37" i="1"/>
  <c r="C37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<sst xmlns="http://schemas.openxmlformats.org/spreadsheetml/2006/main" count="108" uniqueCount="68">
  <si>
    <t>Área responsable de las actividades del backlog de instalaciones</t>
  </si>
  <si>
    <t>Fuente: base-backlog-instalaciones_2026-08.csv (bitácora de actividades, ago-2026)</t>
  </si>
  <si>
    <t>Área Responsable</t>
  </si>
  <si>
    <t>Actividad</t>
  </si>
  <si>
    <t>N° de Registros</t>
  </si>
  <si>
    <t>% del Total</t>
  </si>
  <si>
    <t>INGENIERIA</t>
  </si>
  <si>
    <t>Ejecucion servicio:PON cambiado RM</t>
  </si>
  <si>
    <t>INSTALACION</t>
  </si>
  <si>
    <t>Ejecucion servicio:Notify OMS 'Tech In Progress'</t>
  </si>
  <si>
    <t>Ejecucion servicio:Installation Work Order Completed</t>
  </si>
  <si>
    <t>INVENTARIO FO</t>
  </si>
  <si>
    <t>Ejecucion servicio:Problema inventario FO</t>
  </si>
  <si>
    <t>OTROS</t>
  </si>
  <si>
    <t>Administracion orden:Product Order Completed</t>
  </si>
  <si>
    <t>Manejo de errores:null:Problema recurso FO</t>
  </si>
  <si>
    <t>Manejo de errores:null:Failure Handling (GT)</t>
  </si>
  <si>
    <t>Manejo de errores:null:Resolve Error</t>
  </si>
  <si>
    <t>Provision Banda Ancha:Broadband Initiation</t>
  </si>
  <si>
    <t>Manejo de errores:Desprovision Banda Ancha:Resolve Error</t>
  </si>
  <si>
    <t>Desprovision Banda Ancha:null</t>
  </si>
  <si>
    <t>Desprovisión DTH:DTH DeActivation</t>
  </si>
  <si>
    <t>Provision IPTV:null</t>
  </si>
  <si>
    <t>Ejecucion servicio:Proyecto en Garantía RM</t>
  </si>
  <si>
    <t>PGU</t>
  </si>
  <si>
    <t>Ejecucion servicio:SOLUCION COMERCIAL PGU</t>
  </si>
  <si>
    <t>PLANTA EXTERNA</t>
  </si>
  <si>
    <t>Ejecucion servicio:Problema planta externa FO RM</t>
  </si>
  <si>
    <t>TI</t>
  </si>
  <si>
    <t>Administracion orden:Product Order Received</t>
  </si>
  <si>
    <t>Manejo de errores:Provision Acceso:Problema recurso FO</t>
  </si>
  <si>
    <t>Provision Banda Ancha:Broadband Activation</t>
  </si>
  <si>
    <t>Manejo de errores:Provision IPTV:Failure Handling (GT)</t>
  </si>
  <si>
    <t>Administracion orden:Decompose Products</t>
  </si>
  <si>
    <t>Provision IPTV:TV Activation</t>
  </si>
  <si>
    <t>Manejo de errores:Provision Banda Ancha:Failure Handling (GT)</t>
  </si>
  <si>
    <t>Manejo de errores:Provision Acceso:Resolve Error</t>
  </si>
  <si>
    <t>Manejo de errores:Provision Acceso:Failure Handling (GT)</t>
  </si>
  <si>
    <t>Ejecucion servicio:Failure in Activity (GT)</t>
  </si>
  <si>
    <t>Provision IPTV:TV Initiation</t>
  </si>
  <si>
    <t>Manejo de errores:Provision IPTV:Resolve Error</t>
  </si>
  <si>
    <t>Manejo de errores:Provision Banda Ancha:Resolve Error</t>
  </si>
  <si>
    <t>Provision Acceso:Access Design Resource</t>
  </si>
  <si>
    <t>Provision Banda Ancha:Broadband Design Resource</t>
  </si>
  <si>
    <t>TOTAL (registros con actividad)</t>
  </si>
  <si>
    <t>Nota: 25161 registros de la bitácora no tienen actividad ('bit_act_descripcion') registrada y se excluyeron de esta tabla.</t>
  </si>
  <si>
    <t>Cada tipo de actividad es gestionado por una única área responsable (mapeo 1 a 1 verificado sobre los 32845 registros).</t>
  </si>
  <si>
    <t>Estado de las actividades según Área Responsable</t>
  </si>
  <si>
    <t>Fuente: base-backlog-instalaciones_2026-08.csv (todas las filas de la bitácora, ago-2026)</t>
  </si>
  <si>
    <t>Terminada</t>
  </si>
  <si>
    <t>En Proceso</t>
  </si>
  <si>
    <t>Cancelada</t>
  </si>
  <si>
    <t>Total Área</t>
  </si>
  <si>
    <t>% Cancelada</t>
  </si>
  <si>
    <t>(Sin area)</t>
  </si>
  <si>
    <t>TOTAL</t>
  </si>
  <si>
    <t>Nota: '(Sin area)' agrupa los registros de la bitácora sin área responsable asignada (25.161 de 58.006 filas).</t>
  </si>
  <si>
    <t>Detalle de registros sin Área Responsable asignada</t>
  </si>
  <si>
    <t>Fuente: base-backlog-instalaciones_2026-08.csv — filas con área_responsable y bitácora vacías (25.161 de 58.006)</t>
  </si>
  <si>
    <t>Motivo: estas filas no tienen ningún evento de bitácora registrado ese día (bit_act_descripcion, bit_usua_id y bit_act_id también vacíos); el área se deriva del último evento logueado, por lo que sin evento no hay área.</t>
  </si>
  <si>
    <t>Por Estado</t>
  </si>
  <si>
    <t>Estado</t>
  </si>
  <si>
    <t>Registros</t>
  </si>
  <si>
    <t>Por Tipo de Trabajo</t>
  </si>
  <si>
    <t>Tipo de Trabajo (vpi_grupo_trabajo)</t>
  </si>
  <si>
    <t>Alta</t>
  </si>
  <si>
    <t>Rutina</t>
  </si>
  <si>
    <t>Traslado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</si>
</sst>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%"/>
  </numFmts>
  <fonts count="8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4"/>
      <color theme="1"/>
      <name val="Arial"/>
      <charset val="134"/>
    </font>
    <font>
      <i/>
      <sz val="11"/>
      <color theme="1"/>
      <name val="Arial"/>
      <charset val="134"/>
    </font>
    <font>
      <i/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11"/>
      <color rgb="FFFFFFFF"/>
      <name val="Arial"/>
      <charset val="134"/>
    </font>
    <font>
      <b/>
      <sz val="11"/>
      <color theme="1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66" fontId="1" fillId="0" borderId="1" xfId="0" applyNumberFormat="1" applyFont="1" applyBorder="1">
      <alignment vertical="center"/>
    </xf>
    <xf numFmtId="0" fontId="7" fillId="3" borderId="1" xfId="0" applyFont="1" applyFill="1" applyBorder="1">
      <alignment vertical="center"/>
    </xf>
    <xf numFmtId="166" fontId="1" fillId="3" borderId="1" xfId="0" applyNumberFormat="1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>
      <alignment vertical="center"/>
    </xf>
    <xf numFmtId="166" fontId="7" fillId="5" borderId="1" xfId="0" applyNumberFormat="1" applyFont="1" applyFill="1" applyBorder="1">
      <alignment vertical="center"/>
    </xf>
    <xf numFmtId="166" fontId="1" fillId="5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7" fillId="5" borderId="1" xfId="0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opLeftCell="A15" workbookViewId="0">
      <selection sqref="A1:D1"/>
    </sheetView>
  </sheetViews>
  <sheetFormatPr baseColWidth="10" defaultColWidth="9.140625" defaultRowHeight="14.25"/>
  <cols>
    <col min="1" max="1" width="18.7109375" style="1" customWidth="1"/>
    <col min="2" max="2" width="55.7109375" style="1" customWidth="1"/>
    <col min="3" max="3" width="16.7109375" style="1" customWidth="1"/>
    <col min="4" max="4" width="12.7109375" style="1" customWidth="1"/>
    <col min="5" max="16384" width="9.140625" style="1"/>
  </cols>
  <sheetData>
    <row r="1" spans="1:4" ht="18">
      <c r="A1" s="11" t="s">
        <v>0</v>
      </c>
      <c r="B1" s="11"/>
      <c r="C1" s="11"/>
      <c r="D1" s="11"/>
    </row>
    <row r="2" spans="1:4">
      <c r="A2" s="12" t="s">
        <v>1</v>
      </c>
      <c r="B2" s="12"/>
      <c r="C2" s="12"/>
      <c r="D2" s="12"/>
    </row>
    <row r="4" spans="1:4" ht="15">
      <c r="A4" s="7" t="s">
        <v>2</v>
      </c>
      <c r="B4" s="7" t="s">
        <v>3</v>
      </c>
      <c r="C4" s="7" t="s">
        <v>4</v>
      </c>
      <c r="D4" s="7" t="s">
        <v>5</v>
      </c>
    </row>
    <row r="5" spans="1:4">
      <c r="A5" s="3" t="s">
        <v>6</v>
      </c>
      <c r="B5" s="3" t="s">
        <v>7</v>
      </c>
      <c r="C5" s="3">
        <v>36</v>
      </c>
      <c r="D5" s="4">
        <f t="shared" ref="D5:D35" si="0">C5/$C$37</f>
        <v>1.09605723854468E-3</v>
      </c>
    </row>
    <row r="6" spans="1:4">
      <c r="A6" s="3" t="s">
        <v>8</v>
      </c>
      <c r="B6" s="3" t="s">
        <v>9</v>
      </c>
      <c r="C6" s="3">
        <v>9188</v>
      </c>
      <c r="D6" s="4">
        <f t="shared" si="0"/>
        <v>0.279738164104125</v>
      </c>
    </row>
    <row r="7" spans="1:4">
      <c r="A7" s="3" t="s">
        <v>8</v>
      </c>
      <c r="B7" s="3" t="s">
        <v>10</v>
      </c>
      <c r="C7" s="3">
        <v>176</v>
      </c>
      <c r="D7" s="4">
        <f t="shared" si="0"/>
        <v>5.35850205510732E-3</v>
      </c>
    </row>
    <row r="8" spans="1:4">
      <c r="A8" s="3" t="s">
        <v>11</v>
      </c>
      <c r="B8" s="3" t="s">
        <v>12</v>
      </c>
      <c r="C8" s="3">
        <v>55</v>
      </c>
      <c r="D8" s="4">
        <f t="shared" si="0"/>
        <v>1.67453189222104E-3</v>
      </c>
    </row>
    <row r="9" spans="1:4">
      <c r="A9" s="3" t="s">
        <v>13</v>
      </c>
      <c r="B9" s="3" t="s">
        <v>14</v>
      </c>
      <c r="C9" s="3">
        <v>13854</v>
      </c>
      <c r="D9" s="4">
        <f t="shared" si="0"/>
        <v>0.421799360633277</v>
      </c>
    </row>
    <row r="10" spans="1:4">
      <c r="A10" s="3" t="s">
        <v>13</v>
      </c>
      <c r="B10" s="3" t="s">
        <v>15</v>
      </c>
      <c r="C10" s="3">
        <v>53</v>
      </c>
      <c r="D10" s="4">
        <f t="shared" si="0"/>
        <v>1.6136398234129999E-3</v>
      </c>
    </row>
    <row r="11" spans="1:4">
      <c r="A11" s="3" t="s">
        <v>13</v>
      </c>
      <c r="B11" s="3" t="s">
        <v>16</v>
      </c>
      <c r="C11" s="3">
        <v>42</v>
      </c>
      <c r="D11" s="4">
        <f t="shared" si="0"/>
        <v>1.2787334449687899E-3</v>
      </c>
    </row>
    <row r="12" spans="1:4">
      <c r="A12" s="3" t="s">
        <v>13</v>
      </c>
      <c r="B12" s="3" t="s">
        <v>17</v>
      </c>
      <c r="C12" s="3">
        <v>26</v>
      </c>
      <c r="D12" s="4">
        <f t="shared" si="0"/>
        <v>7.9159689450449097E-4</v>
      </c>
    </row>
    <row r="13" spans="1:4">
      <c r="A13" s="3" t="s">
        <v>13</v>
      </c>
      <c r="B13" s="3" t="s">
        <v>18</v>
      </c>
      <c r="C13" s="3">
        <v>9</v>
      </c>
      <c r="D13" s="4">
        <f t="shared" si="0"/>
        <v>2.7401430963617E-4</v>
      </c>
    </row>
    <row r="14" spans="1:4">
      <c r="A14" s="3" t="s">
        <v>13</v>
      </c>
      <c r="B14" s="3" t="s">
        <v>19</v>
      </c>
      <c r="C14" s="3">
        <v>7</v>
      </c>
      <c r="D14" s="4">
        <f t="shared" si="0"/>
        <v>2.1312224082813201E-4</v>
      </c>
    </row>
    <row r="15" spans="1:4">
      <c r="A15" s="3" t="s">
        <v>13</v>
      </c>
      <c r="B15" s="3" t="s">
        <v>20</v>
      </c>
      <c r="C15" s="3">
        <v>6</v>
      </c>
      <c r="D15" s="4">
        <f t="shared" si="0"/>
        <v>1.8267620642411299E-4</v>
      </c>
    </row>
    <row r="16" spans="1:4">
      <c r="A16" s="3" t="s">
        <v>13</v>
      </c>
      <c r="B16" s="3" t="s">
        <v>21</v>
      </c>
      <c r="C16" s="3">
        <v>4</v>
      </c>
      <c r="D16" s="4">
        <f t="shared" si="0"/>
        <v>1.21784137616076E-4</v>
      </c>
    </row>
    <row r="17" spans="1:4">
      <c r="A17" s="3" t="s">
        <v>13</v>
      </c>
      <c r="B17" s="3" t="s">
        <v>22</v>
      </c>
      <c r="C17" s="3">
        <v>3</v>
      </c>
      <c r="D17" s="4">
        <f t="shared" si="0"/>
        <v>9.1338103212056603E-5</v>
      </c>
    </row>
    <row r="18" spans="1:4">
      <c r="A18" s="3" t="s">
        <v>13</v>
      </c>
      <c r="B18" s="3" t="s">
        <v>23</v>
      </c>
      <c r="C18" s="3">
        <v>2</v>
      </c>
      <c r="D18" s="4">
        <f t="shared" si="0"/>
        <v>6.0892068808037798E-5</v>
      </c>
    </row>
    <row r="19" spans="1:4">
      <c r="A19" s="3" t="s">
        <v>24</v>
      </c>
      <c r="B19" s="3" t="s">
        <v>25</v>
      </c>
      <c r="C19" s="3">
        <v>1967</v>
      </c>
      <c r="D19" s="4">
        <f t="shared" si="0"/>
        <v>5.9887349672705099E-2</v>
      </c>
    </row>
    <row r="20" spans="1:4">
      <c r="A20" s="3" t="s">
        <v>26</v>
      </c>
      <c r="B20" s="3" t="s">
        <v>27</v>
      </c>
      <c r="C20" s="3">
        <v>81</v>
      </c>
      <c r="D20" s="4">
        <f t="shared" si="0"/>
        <v>2.4661287867255299E-3</v>
      </c>
    </row>
    <row r="21" spans="1:4">
      <c r="A21" s="3" t="s">
        <v>28</v>
      </c>
      <c r="B21" s="3" t="s">
        <v>29</v>
      </c>
      <c r="C21" s="3">
        <v>6711</v>
      </c>
      <c r="D21" s="4">
        <f t="shared" si="0"/>
        <v>0.20432333688537099</v>
      </c>
    </row>
    <row r="22" spans="1:4">
      <c r="A22" s="3" t="s">
        <v>28</v>
      </c>
      <c r="B22" s="3" t="s">
        <v>30</v>
      </c>
      <c r="C22" s="3">
        <v>92</v>
      </c>
      <c r="D22" s="4">
        <f t="shared" si="0"/>
        <v>2.8010351651697402E-3</v>
      </c>
    </row>
    <row r="23" spans="1:4">
      <c r="A23" s="3" t="s">
        <v>28</v>
      </c>
      <c r="B23" s="3" t="s">
        <v>31</v>
      </c>
      <c r="C23" s="3">
        <v>91</v>
      </c>
      <c r="D23" s="4">
        <f t="shared" si="0"/>
        <v>2.7705891307657198E-3</v>
      </c>
    </row>
    <row r="24" spans="1:4">
      <c r="A24" s="3" t="s">
        <v>28</v>
      </c>
      <c r="B24" s="3" t="s">
        <v>32</v>
      </c>
      <c r="C24" s="3">
        <v>90</v>
      </c>
      <c r="D24" s="4">
        <f t="shared" si="0"/>
        <v>2.7401430963616999E-3</v>
      </c>
    </row>
    <row r="25" spans="1:4">
      <c r="A25" s="3" t="s">
        <v>28</v>
      </c>
      <c r="B25" s="3" t="s">
        <v>33</v>
      </c>
      <c r="C25" s="3">
        <v>87</v>
      </c>
      <c r="D25" s="4">
        <f t="shared" si="0"/>
        <v>2.64880499314964E-3</v>
      </c>
    </row>
    <row r="26" spans="1:4">
      <c r="A26" s="3" t="s">
        <v>28</v>
      </c>
      <c r="B26" s="3" t="s">
        <v>34</v>
      </c>
      <c r="C26" s="3">
        <v>70</v>
      </c>
      <c r="D26" s="4">
        <f t="shared" si="0"/>
        <v>2.1312224082813201E-3</v>
      </c>
    </row>
    <row r="27" spans="1:4">
      <c r="A27" s="3" t="s">
        <v>28</v>
      </c>
      <c r="B27" s="3" t="s">
        <v>35</v>
      </c>
      <c r="C27" s="3">
        <v>62</v>
      </c>
      <c r="D27" s="4">
        <f t="shared" si="0"/>
        <v>1.8876541330491701E-3</v>
      </c>
    </row>
    <row r="28" spans="1:4">
      <c r="A28" s="3" t="s">
        <v>28</v>
      </c>
      <c r="B28" s="3" t="s">
        <v>36</v>
      </c>
      <c r="C28" s="3">
        <v>47</v>
      </c>
      <c r="D28" s="4">
        <f t="shared" si="0"/>
        <v>1.43096361698889E-3</v>
      </c>
    </row>
    <row r="29" spans="1:4">
      <c r="A29" s="3" t="s">
        <v>28</v>
      </c>
      <c r="B29" s="3" t="s">
        <v>37</v>
      </c>
      <c r="C29" s="3">
        <v>26</v>
      </c>
      <c r="D29" s="4">
        <f t="shared" si="0"/>
        <v>7.9159689450449097E-4</v>
      </c>
    </row>
    <row r="30" spans="1:4">
      <c r="A30" s="3" t="s">
        <v>28</v>
      </c>
      <c r="B30" s="3" t="s">
        <v>38</v>
      </c>
      <c r="C30" s="3">
        <v>14</v>
      </c>
      <c r="D30" s="4">
        <f t="shared" si="0"/>
        <v>4.2624448165626402E-4</v>
      </c>
    </row>
    <row r="31" spans="1:4">
      <c r="A31" s="3" t="s">
        <v>28</v>
      </c>
      <c r="B31" s="3" t="s">
        <v>39</v>
      </c>
      <c r="C31" s="3">
        <v>14</v>
      </c>
      <c r="D31" s="4">
        <f t="shared" si="0"/>
        <v>4.2624448165626402E-4</v>
      </c>
    </row>
    <row r="32" spans="1:4">
      <c r="A32" s="3" t="s">
        <v>28</v>
      </c>
      <c r="B32" s="3" t="s">
        <v>40</v>
      </c>
      <c r="C32" s="3">
        <v>12</v>
      </c>
      <c r="D32" s="4">
        <f t="shared" si="0"/>
        <v>3.6535241284822701E-4</v>
      </c>
    </row>
    <row r="33" spans="1:4">
      <c r="A33" s="3" t="s">
        <v>28</v>
      </c>
      <c r="B33" s="3" t="s">
        <v>41</v>
      </c>
      <c r="C33" s="3">
        <v>10</v>
      </c>
      <c r="D33" s="4">
        <f t="shared" si="0"/>
        <v>3.0446034404018902E-4</v>
      </c>
    </row>
    <row r="34" spans="1:4">
      <c r="A34" s="3" t="s">
        <v>28</v>
      </c>
      <c r="B34" s="3" t="s">
        <v>42</v>
      </c>
      <c r="C34" s="3">
        <v>8</v>
      </c>
      <c r="D34" s="4">
        <f t="shared" si="0"/>
        <v>2.43568275232151E-4</v>
      </c>
    </row>
    <row r="35" spans="1:4">
      <c r="A35" s="3" t="s">
        <v>28</v>
      </c>
      <c r="B35" s="3" t="s">
        <v>43</v>
      </c>
      <c r="C35" s="3">
        <v>2</v>
      </c>
      <c r="D35" s="4">
        <f t="shared" si="0"/>
        <v>6.0892068808037798E-5</v>
      </c>
    </row>
    <row r="36" spans="1:4">
      <c r="A36" s="3"/>
      <c r="B36" s="3"/>
      <c r="C36" s="3"/>
      <c r="D36" s="3"/>
    </row>
    <row r="37" spans="1:4" ht="15">
      <c r="A37" s="13" t="s">
        <v>44</v>
      </c>
      <c r="B37" s="13"/>
      <c r="C37" s="8">
        <f>SUM(C5:C35)</f>
        <v>32845</v>
      </c>
      <c r="D37" s="10">
        <f>C37/$C$37</f>
        <v>1</v>
      </c>
    </row>
    <row r="39" spans="1:4">
      <c r="A39" s="14" t="s">
        <v>45</v>
      </c>
      <c r="B39" s="14"/>
      <c r="C39" s="14"/>
      <c r="D39" s="14"/>
    </row>
    <row r="40" spans="1:4">
      <c r="A40" s="14" t="s">
        <v>46</v>
      </c>
      <c r="B40" s="14"/>
      <c r="C40" s="14"/>
      <c r="D40" s="14"/>
    </row>
  </sheetData>
  <mergeCells count="5">
    <mergeCell ref="A1:D1"/>
    <mergeCell ref="A2:D2"/>
    <mergeCell ref="A37:B37"/>
    <mergeCell ref="A39:D39"/>
    <mergeCell ref="A40:D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sqref="A1:F1"/>
    </sheetView>
  </sheetViews>
  <sheetFormatPr baseColWidth="10" defaultColWidth="9.140625" defaultRowHeight="14.25"/>
  <cols>
    <col min="1" max="1" width="18.7109375" style="1" customWidth="1"/>
    <col min="2" max="5" width="12.7109375" style="1" customWidth="1"/>
    <col min="6" max="6" width="13.7109375" style="1" customWidth="1"/>
    <col min="7" max="16384" width="9.140625" style="1"/>
  </cols>
  <sheetData>
    <row r="1" spans="1:6" ht="18">
      <c r="A1" s="11" t="s">
        <v>47</v>
      </c>
      <c r="B1" s="11"/>
      <c r="C1" s="11"/>
      <c r="D1" s="11"/>
      <c r="E1" s="11"/>
      <c r="F1" s="11"/>
    </row>
    <row r="2" spans="1:6">
      <c r="A2" s="12" t="s">
        <v>48</v>
      </c>
      <c r="B2" s="12"/>
      <c r="C2" s="12"/>
      <c r="D2" s="12"/>
      <c r="E2" s="12"/>
      <c r="F2" s="12"/>
    </row>
    <row r="4" spans="1:6" ht="15">
      <c r="A4" s="7" t="s">
        <v>2</v>
      </c>
      <c r="B4" s="7" t="s">
        <v>49</v>
      </c>
      <c r="C4" s="7" t="s">
        <v>50</v>
      </c>
      <c r="D4" s="7" t="s">
        <v>51</v>
      </c>
      <c r="E4" s="7" t="s">
        <v>52</v>
      </c>
      <c r="F4" s="7" t="s">
        <v>53</v>
      </c>
    </row>
    <row r="5" spans="1:6">
      <c r="A5" s="3" t="s">
        <v>54</v>
      </c>
      <c r="B5" s="3">
        <v>7398</v>
      </c>
      <c r="C5" s="3">
        <v>7613</v>
      </c>
      <c r="D5" s="3">
        <v>10150</v>
      </c>
      <c r="E5" s="3">
        <f t="shared" ref="E5:E12" si="0">SUM(B5:D5)</f>
        <v>25161</v>
      </c>
      <c r="F5" s="4">
        <f t="shared" ref="F5:F13" si="1">D5/E5</f>
        <v>0.40340209053694198</v>
      </c>
    </row>
    <row r="6" spans="1:6">
      <c r="A6" s="3" t="s">
        <v>6</v>
      </c>
      <c r="B6" s="3">
        <v>0</v>
      </c>
      <c r="C6" s="3">
        <v>36</v>
      </c>
      <c r="D6" s="3">
        <v>0</v>
      </c>
      <c r="E6" s="3">
        <f t="shared" si="0"/>
        <v>36</v>
      </c>
      <c r="F6" s="4">
        <f t="shared" si="1"/>
        <v>0</v>
      </c>
    </row>
    <row r="7" spans="1:6">
      <c r="A7" s="3" t="s">
        <v>8</v>
      </c>
      <c r="B7" s="3">
        <v>230</v>
      </c>
      <c r="C7" s="3">
        <v>9103</v>
      </c>
      <c r="D7" s="3">
        <v>31</v>
      </c>
      <c r="E7" s="3">
        <f t="shared" si="0"/>
        <v>9364</v>
      </c>
      <c r="F7" s="4">
        <f t="shared" si="1"/>
        <v>3.3105510465613001E-3</v>
      </c>
    </row>
    <row r="8" spans="1:6">
      <c r="A8" s="3" t="s">
        <v>11</v>
      </c>
      <c r="B8" s="3">
        <v>0</v>
      </c>
      <c r="C8" s="3">
        <v>53</v>
      </c>
      <c r="D8" s="3">
        <v>2</v>
      </c>
      <c r="E8" s="3">
        <f t="shared" si="0"/>
        <v>55</v>
      </c>
      <c r="F8" s="4">
        <f t="shared" si="1"/>
        <v>3.6363636363636397E-2</v>
      </c>
    </row>
    <row r="9" spans="1:6">
      <c r="A9" s="3" t="s">
        <v>13</v>
      </c>
      <c r="B9" s="3">
        <v>13855</v>
      </c>
      <c r="C9" s="3">
        <v>126</v>
      </c>
      <c r="D9" s="3">
        <v>25</v>
      </c>
      <c r="E9" s="3">
        <f t="shared" si="0"/>
        <v>14006</v>
      </c>
      <c r="F9" s="4">
        <f t="shared" si="1"/>
        <v>1.7849493074396699E-3</v>
      </c>
    </row>
    <row r="10" spans="1:6">
      <c r="A10" s="3" t="s">
        <v>24</v>
      </c>
      <c r="B10" s="3">
        <v>1</v>
      </c>
      <c r="C10" s="3">
        <v>1960</v>
      </c>
      <c r="D10" s="3">
        <v>6</v>
      </c>
      <c r="E10" s="3">
        <f t="shared" si="0"/>
        <v>1967</v>
      </c>
      <c r="F10" s="4">
        <f t="shared" si="1"/>
        <v>3.0503304524656799E-3</v>
      </c>
    </row>
    <row r="11" spans="1:6">
      <c r="A11" s="3" t="s">
        <v>26</v>
      </c>
      <c r="B11" s="3">
        <v>0</v>
      </c>
      <c r="C11" s="3">
        <v>81</v>
      </c>
      <c r="D11" s="3">
        <v>0</v>
      </c>
      <c r="E11" s="3">
        <f t="shared" si="0"/>
        <v>81</v>
      </c>
      <c r="F11" s="4">
        <f t="shared" si="1"/>
        <v>0</v>
      </c>
    </row>
    <row r="12" spans="1:6">
      <c r="A12" s="3" t="s">
        <v>28</v>
      </c>
      <c r="B12" s="3">
        <v>4</v>
      </c>
      <c r="C12" s="3">
        <v>442</v>
      </c>
      <c r="D12" s="3">
        <v>6890</v>
      </c>
      <c r="E12" s="3">
        <f t="shared" si="0"/>
        <v>7336</v>
      </c>
      <c r="F12" s="4">
        <f t="shared" si="1"/>
        <v>0.939203925845147</v>
      </c>
    </row>
    <row r="13" spans="1:6" ht="15">
      <c r="A13" s="8" t="s">
        <v>55</v>
      </c>
      <c r="B13" s="8">
        <f>SUM(B5:B12)</f>
        <v>21488</v>
      </c>
      <c r="C13" s="8">
        <f>SUM(C5:C12)</f>
        <v>19414</v>
      </c>
      <c r="D13" s="8">
        <f>SUM(D5:D12)</f>
        <v>17104</v>
      </c>
      <c r="E13" s="8">
        <f>SUM(E5:E12)</f>
        <v>58006</v>
      </c>
      <c r="F13" s="9">
        <f t="shared" si="1"/>
        <v>0.29486604833982699</v>
      </c>
    </row>
    <row r="15" spans="1:6">
      <c r="A15" s="14" t="s">
        <v>56</v>
      </c>
      <c r="B15" s="14"/>
      <c r="C15" s="14"/>
      <c r="D15" s="14"/>
      <c r="E15" s="14"/>
      <c r="F15" s="14"/>
    </row>
  </sheetData>
  <mergeCells count="3">
    <mergeCell ref="A1:F1"/>
    <mergeCell ref="A2:F2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tabSelected="1" workbookViewId="0">
      <selection activeCell="A3" sqref="A3:C3"/>
    </sheetView>
  </sheetViews>
  <sheetFormatPr baseColWidth="10" defaultColWidth="9.140625" defaultRowHeight="14.25"/>
  <cols>
    <col min="1" max="1" width="34.7109375" style="1" customWidth="1"/>
    <col min="2" max="2" width="14.7109375" style="1" customWidth="1"/>
    <col min="3" max="3" width="12.28515625" style="1" bestFit="1" customWidth="1"/>
    <col min="4" max="16384" width="9.140625" style="1"/>
  </cols>
  <sheetData>
    <row r="1" spans="1:3" ht="18">
      <c r="A1" s="11" t="s">
        <v>57</v>
      </c>
      <c r="B1" s="11"/>
      <c r="C1" s="11"/>
    </row>
    <row r="2" spans="1:3">
      <c r="A2" s="12" t="s">
        <v>58</v>
      </c>
      <c r="B2" s="12"/>
      <c r="C2" s="12"/>
    </row>
    <row r="3" spans="1:3">
      <c r="A3" s="14" t="s">
        <v>59</v>
      </c>
      <c r="B3" s="14"/>
      <c r="C3" s="14"/>
    </row>
    <row r="5" spans="1:3" ht="15.75">
      <c r="A5" s="15" t="s">
        <v>60</v>
      </c>
      <c r="B5" s="15"/>
      <c r="C5" s="15"/>
    </row>
    <row r="6" spans="1:3" ht="15">
      <c r="A6" s="2" t="s">
        <v>61</v>
      </c>
      <c r="B6" s="2" t="s">
        <v>62</v>
      </c>
      <c r="C6" s="2" t="s">
        <v>5</v>
      </c>
    </row>
    <row r="7" spans="1:3">
      <c r="A7" s="3" t="s">
        <v>51</v>
      </c>
      <c r="B7" s="3">
        <v>10150</v>
      </c>
      <c r="C7" s="4">
        <f>B7/B$10</f>
        <v>0.40340209053694198</v>
      </c>
    </row>
    <row r="8" spans="1:3">
      <c r="A8" s="3" t="s">
        <v>50</v>
      </c>
      <c r="B8" s="3">
        <v>7613</v>
      </c>
      <c r="C8" s="4">
        <f>B8/B$10</f>
        <v>0.30257143992687102</v>
      </c>
    </row>
    <row r="9" spans="1:3">
      <c r="A9" s="3" t="s">
        <v>49</v>
      </c>
      <c r="B9" s="3">
        <v>7398</v>
      </c>
      <c r="C9" s="4">
        <f>B9/B$10</f>
        <v>0.294026469536187</v>
      </c>
    </row>
    <row r="10" spans="1:3" ht="15">
      <c r="A10" s="5" t="s">
        <v>55</v>
      </c>
      <c r="B10" s="5">
        <f>SUM(B7:B9)</f>
        <v>25161</v>
      </c>
      <c r="C10" s="6">
        <f>B10/B$10</f>
        <v>1</v>
      </c>
    </row>
    <row r="13" spans="1:3" ht="15.75">
      <c r="A13" s="15" t="s">
        <v>63</v>
      </c>
      <c r="B13" s="15"/>
      <c r="C13" s="15"/>
    </row>
    <row r="14" spans="1:3" ht="15">
      <c r="A14" s="2" t="s">
        <v>64</v>
      </c>
      <c r="B14" s="2" t="s">
        <v>62</v>
      </c>
      <c r="C14" s="2" t="s">
        <v>5</v>
      </c>
    </row>
    <row r="15" spans="1:3">
      <c r="A15" s="3" t="s">
        <v>65</v>
      </c>
      <c r="B15" s="3">
        <v>21022</v>
      </c>
      <c r="C15" s="4">
        <f>B15/B$18</f>
        <v>0.83549938396725099</v>
      </c>
    </row>
    <row r="16" spans="1:3">
      <c r="A16" s="3" t="s">
        <v>66</v>
      </c>
      <c r="B16" s="3">
        <v>3158</v>
      </c>
      <c r="C16" s="4">
        <f>B16/B$18</f>
        <v>0.12551170462223299</v>
      </c>
    </row>
    <row r="17" spans="1:3">
      <c r="A17" s="3" t="s">
        <v>67</v>
      </c>
      <c r="B17" s="3">
        <v>981</v>
      </c>
      <c r="C17" s="4">
        <f>B17/B$18</f>
        <v>3.8988911410516303E-2</v>
      </c>
    </row>
    <row r="18" spans="1:3" ht="15">
      <c r="A18" s="5" t="s">
        <v>55</v>
      </c>
      <c r="B18" s="5">
        <f>SUM(B15:B17)</f>
        <v>25161</v>
      </c>
      <c r="C18" s="6">
        <f>B18/B$18</f>
        <v>1</v>
      </c>
    </row>
  </sheetData>
  <mergeCells count="5">
    <mergeCell ref="A1:C1"/>
    <mergeCell ref="A2:C2"/>
    <mergeCell ref="A3:C3"/>
    <mergeCell ref="A5:C5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Area Responsable</vt:lpstr>
      <vt:lpstr>Area x Estado</vt:lpstr>
      <vt:lpstr>Sin Area - 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xarancibia</dc:creator>
  <cp:lastModifiedBy>Ximena Arancibia Sanhueza</cp:lastModifiedBy>
  <dcterms:created xsi:type="dcterms:W3CDTF">2026-08-28T16:01:00Z</dcterms:created>
  <dcterms:modified xsi:type="dcterms:W3CDTF">2026-08-28T16:21:35Z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6F2F3921E6C6445695CC3F9FAE75EB63_11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1</vt:i4>
  </property>
</Properties>
</file>